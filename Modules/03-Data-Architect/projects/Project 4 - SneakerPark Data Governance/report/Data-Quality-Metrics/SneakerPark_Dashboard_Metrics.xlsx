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e4ab9aaf12c5868/Documents/Github/Udacity-Master-Artificial-Intelligence/udacity-ai-masters/Modules/03-Data-Architect/projects/Project 4 - SneakerPark Data Governance/report/"/>
    </mc:Choice>
  </mc:AlternateContent>
  <xr:revisionPtr revIDLastSave="3" documentId="8_{36337712-9A01-435C-A951-24D38AC3CFD2}" xr6:coauthVersionLast="47" xr6:coauthVersionMax="47" xr10:uidLastSave="{A98E3618-C91C-44F3-89ED-EC64B218CAAD}"/>
  <bookViews>
    <workbookView xWindow="-108" yWindow="-108" windowWidth="23256" windowHeight="13896" xr2:uid="{00000000-000D-0000-FFFF-FFFF00000000}"/>
  </bookViews>
  <sheets>
    <sheet name="Dashboard 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G6" i="1"/>
  <c r="H6" i="1" s="1"/>
  <c r="G7" i="1"/>
  <c r="H7" i="1" s="1"/>
  <c r="G8" i="1"/>
  <c r="H8" i="1" s="1"/>
</calcChain>
</file>

<file path=xl/sharedStrings.xml><?xml version="1.0" encoding="utf-8"?>
<sst xmlns="http://schemas.openxmlformats.org/spreadsheetml/2006/main" count="21" uniqueCount="21">
  <si>
    <t>Data Quality Rule</t>
  </si>
  <si>
    <t>Issue Records</t>
  </si>
  <si>
    <t>Missing Shipping Addresses</t>
  </si>
  <si>
    <t>Duplicate Customer Accounts</t>
  </si>
  <si>
    <t>Listing &amp; Item Mismatches</t>
  </si>
  <si>
    <t>Total Records</t>
  </si>
  <si>
    <t>Data Quality Score</t>
  </si>
  <si>
    <t>Invalid Customer Email Addresses</t>
  </si>
  <si>
    <t>Rule</t>
  </si>
  <si>
    <t>Score</t>
  </si>
  <si>
    <t>Invalid Emails</t>
  </si>
  <si>
    <t>Missing Addresses</t>
  </si>
  <si>
    <t>Duplicate Accounts</t>
  </si>
  <si>
    <t>Item Mismatches</t>
  </si>
  <si>
    <t>Status Legend:</t>
  </si>
  <si>
    <t>● Excellent (≥90%)</t>
  </si>
  <si>
    <t>● Needs Attention (&lt;70%)</t>
  </si>
  <si>
    <t>Status</t>
  </si>
  <si>
    <t>● Good (70-80%)</t>
  </si>
  <si>
    <t>DATA QUALITY MONITORING DASHBOARD</t>
  </si>
  <si>
    <r>
      <t xml:space="preserve">*Data Quality Scores are calculated as: </t>
    </r>
    <r>
      <rPr>
        <sz val="11"/>
        <color theme="1"/>
        <rFont val="Calibri"/>
        <family val="2"/>
        <scheme val="minor"/>
      </rPr>
      <t>(Total Records − Issue Records) / Total Records × 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</si>
</sst>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1" xfId="0" applyBorder="1"/>
    <xf numFmtId="9" fontId="0" fillId="0" borderId="1" xfId="0" applyNumberFormat="1" applyBorder="1"/>
    <xf numFmtId="0" fontId="4" fillId="3" borderId="0" xfId="0" applyFont="1" applyFill="1"/>
    <xf numFmtId="0" fontId="2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0" fillId="0" borderId="6" xfId="0" applyBorder="1"/>
    <xf numFmtId="0" fontId="0" fillId="0" borderId="7" xfId="0" applyBorder="1"/>
    <xf numFmtId="0" fontId="4" fillId="3" borderId="6" xfId="0" applyFont="1" applyFill="1" applyBorder="1"/>
    <xf numFmtId="0" fontId="2" fillId="0" borderId="6" xfId="0" applyFont="1" applyBorder="1"/>
    <xf numFmtId="0" fontId="5" fillId="0" borderId="6" xfId="0" applyFont="1" applyBorder="1"/>
    <xf numFmtId="0" fontId="6" fillId="0" borderId="6" xfId="0" applyFont="1" applyBorder="1"/>
    <xf numFmtId="0" fontId="1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9" fontId="0" fillId="0" borderId="16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9" fontId="0" fillId="0" borderId="18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2" fillId="0" borderId="7" xfId="0" applyFont="1" applyBorder="1"/>
    <xf numFmtId="0" fontId="0" fillId="0" borderId="17" xfId="0" applyBorder="1"/>
    <xf numFmtId="0" fontId="5" fillId="0" borderId="7" xfId="0" applyFont="1" applyBorder="1"/>
    <xf numFmtId="0" fontId="6" fillId="0" borderId="7" xfId="0" applyFont="1" applyBorder="1"/>
    <xf numFmtId="0" fontId="1" fillId="0" borderId="7" xfId="0" applyFont="1" applyBorder="1"/>
    <xf numFmtId="0" fontId="0" fillId="0" borderId="0" xfId="0" applyAlignment="1">
      <alignment vertical="top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Quality Scores by Rule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Metrics'!$G$4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Metrics'!$F$5:$F$8</c:f>
              <c:strCache>
                <c:ptCount val="4"/>
                <c:pt idx="0">
                  <c:v>Invalid Emails</c:v>
                </c:pt>
                <c:pt idx="1">
                  <c:v>Missing Addresses</c:v>
                </c:pt>
                <c:pt idx="2">
                  <c:v>Duplicate Accounts</c:v>
                </c:pt>
                <c:pt idx="3">
                  <c:v>Item Mismatches</c:v>
                </c:pt>
              </c:strCache>
            </c:strRef>
          </c:cat>
          <c:val>
            <c:numRef>
              <c:f>'Dashboard Metrics'!$G$5:$G$8</c:f>
              <c:numCache>
                <c:formatCode>0%</c:formatCode>
                <c:ptCount val="4"/>
                <c:pt idx="0">
                  <c:v>0.77</c:v>
                </c:pt>
                <c:pt idx="1">
                  <c:v>0.93</c:v>
                </c:pt>
                <c:pt idx="2">
                  <c:v>1</c:v>
                </c:pt>
                <c:pt idx="3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5-4107-B216-7B4DF44E3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2286095"/>
        <c:axId val="1062277455"/>
      </c:barChart>
      <c:catAx>
        <c:axId val="106228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77455"/>
        <c:crosses val="autoZero"/>
        <c:auto val="1"/>
        <c:lblAlgn val="ctr"/>
        <c:lblOffset val="100"/>
        <c:noMultiLvlLbl val="0"/>
      </c:catAx>
      <c:valAx>
        <c:axId val="1062277455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8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8</xdr:row>
      <xdr:rowOff>99060</xdr:rowOff>
    </xdr:from>
    <xdr:to>
      <xdr:col>7</xdr:col>
      <xdr:colOff>1478280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8C9D8D-5063-C34F-E424-35B4B1BE7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showGridLines="0" tabSelected="1" workbookViewId="0">
      <selection activeCell="H28" sqref="H28"/>
    </sheetView>
  </sheetViews>
  <sheetFormatPr defaultRowHeight="14.4" x14ac:dyDescent="0.3"/>
  <cols>
    <col min="1" max="1" width="31.77734375" customWidth="1"/>
    <col min="2" max="2" width="14.21875" customWidth="1"/>
    <col min="3" max="3" width="12.33203125" bestFit="1" customWidth="1"/>
    <col min="4" max="4" width="16.88671875" customWidth="1"/>
    <col min="6" max="6" width="19.21875" customWidth="1"/>
    <col min="7" max="7" width="5.6640625" bestFit="1" customWidth="1"/>
    <col min="8" max="8" width="22.21875" customWidth="1"/>
    <col min="9" max="9" width="4.77734375" customWidth="1"/>
    <col min="11" max="11" width="15.77734375" customWidth="1"/>
  </cols>
  <sheetData>
    <row r="1" spans="1:11" ht="15" thickBot="1" x14ac:dyDescent="0.35">
      <c r="A1" s="34" t="s">
        <v>0</v>
      </c>
      <c r="B1" s="35" t="s">
        <v>5</v>
      </c>
      <c r="C1" s="35" t="s">
        <v>1</v>
      </c>
      <c r="D1" s="36" t="s">
        <v>6</v>
      </c>
      <c r="F1" s="44" t="s">
        <v>19</v>
      </c>
      <c r="G1" s="45"/>
      <c r="H1" s="45"/>
      <c r="I1" s="45"/>
      <c r="J1" s="45"/>
      <c r="K1" s="46"/>
    </row>
    <row r="2" spans="1:11" x14ac:dyDescent="0.3">
      <c r="A2" s="27" t="s">
        <v>7</v>
      </c>
      <c r="B2" s="26">
        <v>400</v>
      </c>
      <c r="C2" s="26">
        <v>91</v>
      </c>
      <c r="D2" s="28">
        <v>0.77</v>
      </c>
      <c r="F2" s="47"/>
      <c r="G2" s="48"/>
      <c r="H2" s="48"/>
      <c r="I2" s="48"/>
      <c r="J2" s="48"/>
      <c r="K2" s="49"/>
    </row>
    <row r="3" spans="1:11" x14ac:dyDescent="0.3">
      <c r="A3" s="29" t="s">
        <v>2</v>
      </c>
      <c r="B3" s="25">
        <v>98</v>
      </c>
      <c r="C3" s="25">
        <v>7</v>
      </c>
      <c r="D3" s="30">
        <v>0.93</v>
      </c>
      <c r="F3" s="14"/>
      <c r="K3" s="15"/>
    </row>
    <row r="4" spans="1:11" x14ac:dyDescent="0.3">
      <c r="A4" s="29" t="s">
        <v>3</v>
      </c>
      <c r="B4" s="25">
        <v>400</v>
      </c>
      <c r="C4" s="25">
        <v>0</v>
      </c>
      <c r="D4" s="30">
        <v>1</v>
      </c>
      <c r="F4" s="16" t="s">
        <v>8</v>
      </c>
      <c r="G4" s="9" t="s">
        <v>9</v>
      </c>
      <c r="H4" s="37" t="s">
        <v>17</v>
      </c>
      <c r="J4" s="10" t="s">
        <v>14</v>
      </c>
      <c r="K4" s="38"/>
    </row>
    <row r="5" spans="1:11" ht="15" thickBot="1" x14ac:dyDescent="0.35">
      <c r="A5" s="31" t="s">
        <v>4</v>
      </c>
      <c r="B5" s="32">
        <v>430</v>
      </c>
      <c r="C5" s="32">
        <v>186</v>
      </c>
      <c r="D5" s="33">
        <v>0.56999999999999995</v>
      </c>
      <c r="F5" s="39" t="s">
        <v>10</v>
      </c>
      <c r="G5" s="8">
        <f>D2</f>
        <v>0.77</v>
      </c>
      <c r="H5" s="7" t="str">
        <f>IF(G5&gt;=0.9,"✓ Excellent",IF(G5&gt;=0.7,"◐ Good","✗ Needs Attention"))</f>
        <v>◐ Good</v>
      </c>
      <c r="J5" s="11" t="s">
        <v>15</v>
      </c>
      <c r="K5" s="40"/>
    </row>
    <row r="6" spans="1:11" x14ac:dyDescent="0.3">
      <c r="F6" s="39" t="s">
        <v>11</v>
      </c>
      <c r="G6" s="8">
        <f>D3</f>
        <v>0.93</v>
      </c>
      <c r="H6" s="7" t="str">
        <f>IF(G6&gt;=0.9,"✓ Excellent",IF(G6&gt;=0.7,"◐ Good","✗ Needs Attention"))</f>
        <v>✓ Excellent</v>
      </c>
      <c r="J6" s="12" t="s">
        <v>18</v>
      </c>
      <c r="K6" s="41"/>
    </row>
    <row r="7" spans="1:11" x14ac:dyDescent="0.3">
      <c r="F7" s="39" t="s">
        <v>12</v>
      </c>
      <c r="G7" s="8">
        <f>D4</f>
        <v>1</v>
      </c>
      <c r="H7" s="7" t="str">
        <f>IF(G7&gt;=0.9,"✓ Excellent",IF(G7&gt;=0.7,"◐ Good","✗ Needs Attention"))</f>
        <v>✓ Excellent</v>
      </c>
      <c r="J7" s="13" t="s">
        <v>16</v>
      </c>
      <c r="K7" s="42"/>
    </row>
    <row r="8" spans="1:11" x14ac:dyDescent="0.3">
      <c r="A8" s="43"/>
      <c r="B8" s="43"/>
      <c r="C8" s="43"/>
      <c r="D8" s="1"/>
      <c r="F8" s="39" t="s">
        <v>13</v>
      </c>
      <c r="G8" s="8">
        <f>D5</f>
        <v>0.56999999999999995</v>
      </c>
      <c r="H8" s="7" t="str">
        <f>IF(G8&gt;=0.9,"✓ Excellent",IF(G8&gt;=0.7,"◐ Good","✗ Needs Attention"))</f>
        <v>✗ Needs Attention</v>
      </c>
      <c r="K8" s="15"/>
    </row>
    <row r="9" spans="1:11" x14ac:dyDescent="0.3">
      <c r="F9" s="14"/>
      <c r="K9" s="15"/>
    </row>
    <row r="10" spans="1:11" x14ac:dyDescent="0.3">
      <c r="F10" s="17"/>
      <c r="K10" s="15"/>
    </row>
    <row r="11" spans="1:11" x14ac:dyDescent="0.3">
      <c r="F11" s="18"/>
      <c r="K11" s="15"/>
    </row>
    <row r="12" spans="1:11" x14ac:dyDescent="0.3">
      <c r="A12" s="2"/>
      <c r="B12" s="4"/>
      <c r="C12" s="4"/>
      <c r="D12" s="4"/>
      <c r="F12" s="19"/>
      <c r="K12" s="15"/>
    </row>
    <row r="13" spans="1:11" x14ac:dyDescent="0.3">
      <c r="A13" s="5"/>
      <c r="B13" s="3"/>
      <c r="C13" s="3"/>
      <c r="D13" s="6"/>
      <c r="F13" s="20"/>
      <c r="K13" s="15"/>
    </row>
    <row r="14" spans="1:11" x14ac:dyDescent="0.3">
      <c r="A14" s="5"/>
      <c r="B14" s="3"/>
      <c r="C14" s="3"/>
      <c r="D14" s="6"/>
      <c r="F14" s="14"/>
      <c r="K14" s="15"/>
    </row>
    <row r="15" spans="1:11" x14ac:dyDescent="0.3">
      <c r="A15" s="5"/>
      <c r="B15" s="3"/>
      <c r="C15" s="3"/>
      <c r="D15" s="6"/>
      <c r="F15" s="14"/>
      <c r="K15" s="15"/>
    </row>
    <row r="16" spans="1:11" x14ac:dyDescent="0.3">
      <c r="A16" s="5"/>
      <c r="B16" s="3"/>
      <c r="C16" s="3"/>
      <c r="D16" s="6"/>
      <c r="F16" s="14"/>
      <c r="K16" s="15"/>
    </row>
    <row r="17" spans="6:11" x14ac:dyDescent="0.3">
      <c r="F17" s="14"/>
      <c r="K17" s="15"/>
    </row>
    <row r="18" spans="6:11" x14ac:dyDescent="0.3">
      <c r="F18" s="14"/>
      <c r="K18" s="15"/>
    </row>
    <row r="19" spans="6:11" x14ac:dyDescent="0.3">
      <c r="F19" s="14"/>
      <c r="K19" s="15"/>
    </row>
    <row r="20" spans="6:11" x14ac:dyDescent="0.3">
      <c r="F20" s="14"/>
      <c r="K20" s="15"/>
    </row>
    <row r="21" spans="6:11" x14ac:dyDescent="0.3">
      <c r="F21" s="14"/>
      <c r="K21" s="15"/>
    </row>
    <row r="22" spans="6:11" ht="15" thickBot="1" x14ac:dyDescent="0.35">
      <c r="F22" s="21" t="s">
        <v>20</v>
      </c>
      <c r="G22" s="22"/>
      <c r="H22" s="22"/>
      <c r="I22" s="22"/>
      <c r="J22" s="23"/>
      <c r="K22" s="24"/>
    </row>
  </sheetData>
  <mergeCells count="2">
    <mergeCell ref="A8:C8"/>
    <mergeCell ref="F1:K2"/>
  </mergeCells>
  <phoneticPr fontId="7" type="noConversion"/>
  <conditionalFormatting sqref="H5:H8">
    <cfRule type="containsText" dxfId="5" priority="1" operator="containsText" text="Excellent">
      <formula>NOT(ISERROR(SEARCH("Excellent",H5)))</formula>
    </cfRule>
    <cfRule type="containsText" dxfId="4" priority="2" operator="containsText" text="Good">
      <formula>NOT(ISERROR(SEARCH("Good",H5)))</formula>
    </cfRule>
    <cfRule type="containsText" dxfId="3" priority="3" operator="containsText" text="Attention">
      <formula>NOT(ISERROR(SEARCH("Attention",H5)))</formula>
    </cfRule>
  </conditionalFormatting>
  <conditionalFormatting sqref="H19:H20">
    <cfRule type="containsText" dxfId="2" priority="4" operator="containsText" text="Excellent">
      <formula>NOT(ISERROR(SEARCH("Excellent",H19)))</formula>
    </cfRule>
    <cfRule type="containsText" dxfId="1" priority="5" operator="containsText" text="Good">
      <formula>NOT(ISERROR(SEARCH("Good",H19)))</formula>
    </cfRule>
    <cfRule type="containsText" dxfId="0" priority="6" operator="containsText" text="Attention">
      <formula>NOT(ISERROR(SEARCH("Attention",H19)))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AVALAKKI MOHAN</cp:lastModifiedBy>
  <dcterms:created xsi:type="dcterms:W3CDTF">2026-05-30T04:45:16Z</dcterms:created>
  <dcterms:modified xsi:type="dcterms:W3CDTF">2026-06-01T05:16:08Z</dcterms:modified>
</cp:coreProperties>
</file>