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be4ab9aaf12c5868/Documents/Github/Udacity-Master-Artificial-Intelligence/udacity-ai-masters/Modules/03-Data-Architect/projects/Project 4 - SneakerPark Data Governance/report/"/>
    </mc:Choice>
  </mc:AlternateContent>
  <xr:revisionPtr revIDLastSave="0" documentId="8_{36337712-9A01-435C-A951-24D38AC3CFD2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Dashboard Metric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" i="1" l="1"/>
  <c r="I5" i="1" s="1"/>
  <c r="H6" i="1"/>
  <c r="I6" i="1" s="1"/>
  <c r="H7" i="1"/>
  <c r="I7" i="1" s="1"/>
  <c r="H8" i="1"/>
  <c r="I8" i="1" s="1"/>
</calcChain>
</file>

<file path=xl/sharedStrings.xml><?xml version="1.0" encoding="utf-8"?>
<sst xmlns="http://schemas.openxmlformats.org/spreadsheetml/2006/main" count="26" uniqueCount="26">
  <si>
    <t>Data Quality Rule</t>
  </si>
  <si>
    <t>Issue Records</t>
  </si>
  <si>
    <t>Missing Shipping Addresses</t>
  </si>
  <si>
    <t>Duplicate Customer Accounts</t>
  </si>
  <si>
    <t>Listing &amp; Item Mismatches</t>
  </si>
  <si>
    <t>Total Records</t>
  </si>
  <si>
    <t>Calculation</t>
  </si>
  <si>
    <t>Data Quality Score</t>
  </si>
  <si>
    <t>Invalid Customer Email Addresses</t>
  </si>
  <si>
    <t>(400-0)/400×100</t>
  </si>
  <si>
    <t>(304-96)/304×100</t>
  </si>
  <si>
    <t>(91-7)/91×100</t>
  </si>
  <si>
    <t>(244-186)/244×100</t>
  </si>
  <si>
    <t>Rule</t>
  </si>
  <si>
    <t>Score</t>
  </si>
  <si>
    <t>Invalid Emails</t>
  </si>
  <si>
    <t>Missing Addresses</t>
  </si>
  <si>
    <t>Duplicate Accounts</t>
  </si>
  <si>
    <t>Item Mismatches</t>
  </si>
  <si>
    <t>Status Legend:</t>
  </si>
  <si>
    <t>● Excellent (≥90%)</t>
  </si>
  <si>
    <t>● Needs Attention (&lt;70%)</t>
  </si>
  <si>
    <t>Status</t>
  </si>
  <si>
    <t>● Good (70-80%)</t>
  </si>
  <si>
    <t>DATA QUALITY MONITORING DASHBOARD</t>
  </si>
  <si>
    <r>
      <t xml:space="preserve">*Data Quality Scores are calculated as: </t>
    </r>
    <r>
      <rPr>
        <sz val="11"/>
        <color theme="1"/>
        <rFont val="Calibri"/>
        <family val="2"/>
        <scheme val="minor"/>
      </rPr>
      <t>(Total Records − Total Issues) / Total Records × 100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</si>
</sst>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2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rgb="FFFFC000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2E75B6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theme="9" tint="0.59999389629810485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0" fillId="0" borderId="0" xfId="0" applyAlignment="1">
      <alignment wrapTex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2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9" fontId="0" fillId="0" borderId="0" xfId="0" applyNumberFormat="1" applyAlignment="1">
      <alignment horizontal="right" vertical="center" wrapText="1"/>
    </xf>
    <xf numFmtId="0" fontId="0" fillId="0" borderId="0" xfId="0" applyAlignment="1">
      <alignment vertical="top" wrapText="1"/>
    </xf>
    <xf numFmtId="0" fontId="0" fillId="0" borderId="0" xfId="0" applyBorder="1"/>
    <xf numFmtId="0" fontId="0" fillId="0" borderId="1" xfId="0" applyBorder="1"/>
    <xf numFmtId="9" fontId="0" fillId="0" borderId="1" xfId="0" applyNumberFormat="1" applyBorder="1"/>
    <xf numFmtId="0" fontId="4" fillId="3" borderId="0" xfId="0" applyFont="1" applyFill="1" applyBorder="1"/>
    <xf numFmtId="0" fontId="2" fillId="0" borderId="0" xfId="0" applyFont="1" applyBorder="1"/>
    <xf numFmtId="0" fontId="5" fillId="0" borderId="0" xfId="0" applyFont="1" applyBorder="1"/>
    <xf numFmtId="0" fontId="6" fillId="0" borderId="0" xfId="0" applyFont="1" applyBorder="1"/>
    <xf numFmtId="0" fontId="1" fillId="0" borderId="0" xfId="0" applyFont="1" applyBorder="1"/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4" fillId="3" borderId="6" xfId="0" applyFont="1" applyFill="1" applyBorder="1"/>
    <xf numFmtId="0" fontId="2" fillId="0" borderId="6" xfId="0" applyFont="1" applyBorder="1"/>
    <xf numFmtId="0" fontId="5" fillId="0" borderId="6" xfId="0" applyFont="1" applyBorder="1"/>
    <xf numFmtId="0" fontId="6" fillId="0" borderId="6" xfId="0" applyFont="1" applyBorder="1"/>
    <xf numFmtId="0" fontId="1" fillId="0" borderId="6" xfId="0" applyFont="1" applyBorder="1"/>
    <xf numFmtId="0" fontId="2" fillId="0" borderId="8" xfId="0" applyFont="1" applyBorder="1"/>
    <xf numFmtId="0" fontId="2" fillId="0" borderId="9" xfId="0" applyFont="1" applyBorder="1"/>
    <xf numFmtId="0" fontId="0" fillId="0" borderId="9" xfId="0" applyBorder="1"/>
    <xf numFmtId="0" fontId="0" fillId="0" borderId="10" xfId="0" applyBorder="1"/>
    <xf numFmtId="0" fontId="0" fillId="0" borderId="1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9" fontId="0" fillId="0" borderId="16" xfId="0" applyNumberFormat="1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9" fontId="0" fillId="0" borderId="18" xfId="0" applyNumberFormat="1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9" fontId="0" fillId="0" borderId="21" xfId="0" applyNumberFormat="1" applyBorder="1" applyAlignment="1">
      <alignment horizontal="center" vertical="center" wrapText="1"/>
    </xf>
    <xf numFmtId="0" fontId="2" fillId="4" borderId="12" xfId="0" applyFont="1" applyFill="1" applyBorder="1" applyAlignment="1">
      <alignment horizontal="center" vertical="center" wrapText="1"/>
    </xf>
    <xf numFmtId="0" fontId="2" fillId="4" borderId="13" xfId="0" applyFont="1" applyFill="1" applyBorder="1" applyAlignment="1">
      <alignment horizontal="center" vertical="center" wrapText="1"/>
    </xf>
    <xf numFmtId="0" fontId="2" fillId="4" borderId="14" xfId="0" applyFont="1" applyFill="1" applyBorder="1" applyAlignment="1">
      <alignment horizontal="center" vertical="center" wrapText="1"/>
    </xf>
    <xf numFmtId="0" fontId="4" fillId="3" borderId="2" xfId="0" applyFont="1" applyFill="1" applyBorder="1"/>
    <xf numFmtId="0" fontId="2" fillId="0" borderId="7" xfId="0" applyFont="1" applyBorder="1"/>
    <xf numFmtId="0" fontId="0" fillId="0" borderId="17" xfId="0" applyBorder="1"/>
    <xf numFmtId="0" fontId="5" fillId="0" borderId="7" xfId="0" applyFont="1" applyBorder="1"/>
    <xf numFmtId="0" fontId="6" fillId="0" borderId="7" xfId="0" applyFont="1" applyBorder="1"/>
    <xf numFmtId="0" fontId="1" fillId="0" borderId="7" xfId="0" applyFont="1" applyBorder="1"/>
  </cellXfs>
  <cellStyles count="1">
    <cellStyle name="Normal" xfId="0" builtinId="0"/>
  </cellStyles>
  <dxfs count="6"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Data Quality Scores by Rule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'Dashboard Metrics'!$H$4</c:f>
              <c:strCache>
                <c:ptCount val="1"/>
                <c:pt idx="0">
                  <c:v>Score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'Dashboard Metrics'!$G$5:$G$8</c:f>
              <c:strCache>
                <c:ptCount val="4"/>
                <c:pt idx="0">
                  <c:v>Invalid Emails</c:v>
                </c:pt>
                <c:pt idx="1">
                  <c:v>Missing Addresses</c:v>
                </c:pt>
                <c:pt idx="2">
                  <c:v>Duplicate Accounts</c:v>
                </c:pt>
                <c:pt idx="3">
                  <c:v>Item Mismatches</c:v>
                </c:pt>
              </c:strCache>
            </c:strRef>
          </c:cat>
          <c:val>
            <c:numRef>
              <c:f>'Dashboard Metrics'!$H$5:$H$8</c:f>
              <c:numCache>
                <c:formatCode>0%</c:formatCode>
                <c:ptCount val="4"/>
                <c:pt idx="0">
                  <c:v>0.77</c:v>
                </c:pt>
                <c:pt idx="1">
                  <c:v>0.93</c:v>
                </c:pt>
                <c:pt idx="2">
                  <c:v>1</c:v>
                </c:pt>
                <c:pt idx="3">
                  <c:v>0.56999999999999995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6F5-4107-B216-7B4DF44E35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62286095"/>
        <c:axId val="1062277455"/>
      </c:barChart>
      <c:catAx>
        <c:axId val="106228609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2277455"/>
        <c:crosses val="autoZero"/>
        <c:auto val="1"/>
        <c:lblAlgn val="ctr"/>
        <c:lblOffset val="100"/>
        <c:noMultiLvlLbl val="0"/>
      </c:catAx>
      <c:valAx>
        <c:axId val="1062277455"/>
        <c:scaling>
          <c:orientation val="minMax"/>
          <c:max val="1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22860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22860</xdr:colOff>
      <xdr:row>8</xdr:row>
      <xdr:rowOff>99060</xdr:rowOff>
    </xdr:from>
    <xdr:to>
      <xdr:col>8</xdr:col>
      <xdr:colOff>1478280</xdr:colOff>
      <xdr:row>20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B8C9D8D-5063-C34F-E424-35B4B1BE7B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3"/>
  <sheetViews>
    <sheetView showGridLines="0" tabSelected="1" workbookViewId="0">
      <selection activeCell="M25" sqref="M25"/>
    </sheetView>
  </sheetViews>
  <sheetFormatPr defaultRowHeight="14.4" x14ac:dyDescent="0.3"/>
  <cols>
    <col min="1" max="1" width="31.77734375" customWidth="1"/>
    <col min="2" max="2" width="14.21875" customWidth="1"/>
    <col min="3" max="3" width="12.33203125" bestFit="1" customWidth="1"/>
    <col min="4" max="4" width="20.44140625" customWidth="1"/>
    <col min="5" max="5" width="16.88671875" customWidth="1"/>
    <col min="7" max="7" width="19.21875" customWidth="1"/>
    <col min="8" max="8" width="5.6640625" bestFit="1" customWidth="1"/>
    <col min="9" max="9" width="22.21875" customWidth="1"/>
    <col min="10" max="10" width="4.77734375" customWidth="1"/>
    <col min="12" max="12" width="15.109375" customWidth="1"/>
  </cols>
  <sheetData>
    <row r="1" spans="1:12" ht="15" thickBot="1" x14ac:dyDescent="0.35">
      <c r="A1" s="42" t="s">
        <v>0</v>
      </c>
      <c r="B1" s="43" t="s">
        <v>5</v>
      </c>
      <c r="C1" s="43" t="s">
        <v>1</v>
      </c>
      <c r="D1" s="43" t="s">
        <v>6</v>
      </c>
      <c r="E1" s="44" t="s">
        <v>7</v>
      </c>
      <c r="G1" s="16" t="s">
        <v>24</v>
      </c>
      <c r="H1" s="17"/>
      <c r="I1" s="17"/>
      <c r="J1" s="17"/>
      <c r="K1" s="17"/>
      <c r="L1" s="18"/>
    </row>
    <row r="2" spans="1:12" x14ac:dyDescent="0.3">
      <c r="A2" s="35" t="s">
        <v>8</v>
      </c>
      <c r="B2" s="34">
        <v>400</v>
      </c>
      <c r="C2" s="34">
        <v>91</v>
      </c>
      <c r="D2" s="34" t="s">
        <v>10</v>
      </c>
      <c r="E2" s="36">
        <v>0.77</v>
      </c>
      <c r="G2" s="19"/>
      <c r="H2" s="20"/>
      <c r="I2" s="20"/>
      <c r="J2" s="20"/>
      <c r="K2" s="20"/>
      <c r="L2" s="21"/>
    </row>
    <row r="3" spans="1:12" x14ac:dyDescent="0.3">
      <c r="A3" s="37" t="s">
        <v>2</v>
      </c>
      <c r="B3" s="33">
        <v>98</v>
      </c>
      <c r="C3" s="33">
        <v>7</v>
      </c>
      <c r="D3" s="33" t="s">
        <v>11</v>
      </c>
      <c r="E3" s="38">
        <v>0.93</v>
      </c>
      <c r="G3" s="22"/>
      <c r="H3" s="8"/>
      <c r="I3" s="8"/>
      <c r="J3" s="8"/>
      <c r="K3" s="8"/>
      <c r="L3" s="23"/>
    </row>
    <row r="4" spans="1:12" x14ac:dyDescent="0.3">
      <c r="A4" s="37" t="s">
        <v>3</v>
      </c>
      <c r="B4" s="33">
        <v>400</v>
      </c>
      <c r="C4" s="33">
        <v>0</v>
      </c>
      <c r="D4" s="33" t="s">
        <v>9</v>
      </c>
      <c r="E4" s="38">
        <v>1</v>
      </c>
      <c r="G4" s="24" t="s">
        <v>13</v>
      </c>
      <c r="H4" s="11" t="s">
        <v>14</v>
      </c>
      <c r="I4" s="45" t="s">
        <v>22</v>
      </c>
      <c r="J4" s="8"/>
      <c r="K4" s="12" t="s">
        <v>19</v>
      </c>
      <c r="L4" s="46"/>
    </row>
    <row r="5" spans="1:12" ht="15" thickBot="1" x14ac:dyDescent="0.35">
      <c r="A5" s="39" t="s">
        <v>4</v>
      </c>
      <c r="B5" s="40">
        <v>430</v>
      </c>
      <c r="C5" s="40">
        <v>186</v>
      </c>
      <c r="D5" s="40" t="s">
        <v>12</v>
      </c>
      <c r="E5" s="41">
        <v>0.56999999999999995</v>
      </c>
      <c r="G5" s="47" t="s">
        <v>15</v>
      </c>
      <c r="H5" s="10">
        <f>E2</f>
        <v>0.77</v>
      </c>
      <c r="I5" s="9" t="str">
        <f>IF(H5&gt;=0.9,"✓ Excellent",IF(H5&gt;=0.7,"◐ Good","✗ Needs Attention"))</f>
        <v>◐ Good</v>
      </c>
      <c r="J5" s="8"/>
      <c r="K5" s="13" t="s">
        <v>20</v>
      </c>
      <c r="L5" s="48"/>
    </row>
    <row r="6" spans="1:12" x14ac:dyDescent="0.3">
      <c r="G6" s="47" t="s">
        <v>16</v>
      </c>
      <c r="H6" s="10">
        <f>E3</f>
        <v>0.93</v>
      </c>
      <c r="I6" s="9" t="str">
        <f>IF(H6&gt;=0.9,"✓ Excellent",IF(H6&gt;=0.7,"◐ Good","✗ Needs Attention"))</f>
        <v>✓ Excellent</v>
      </c>
      <c r="J6" s="8"/>
      <c r="K6" s="14" t="s">
        <v>23</v>
      </c>
      <c r="L6" s="49"/>
    </row>
    <row r="7" spans="1:12" x14ac:dyDescent="0.3">
      <c r="G7" s="47" t="s">
        <v>17</v>
      </c>
      <c r="H7" s="10">
        <f>E4</f>
        <v>1</v>
      </c>
      <c r="I7" s="9" t="str">
        <f>IF(H7&gt;=0.9,"✓ Excellent",IF(H7&gt;=0.7,"◐ Good","✗ Needs Attention"))</f>
        <v>✓ Excellent</v>
      </c>
      <c r="J7" s="8"/>
      <c r="K7" s="15" t="s">
        <v>21</v>
      </c>
      <c r="L7" s="50"/>
    </row>
    <row r="8" spans="1:12" x14ac:dyDescent="0.3">
      <c r="A8" s="7"/>
      <c r="B8" s="7"/>
      <c r="C8" s="7"/>
      <c r="D8" s="1"/>
      <c r="E8" s="1"/>
      <c r="G8" s="47" t="s">
        <v>18</v>
      </c>
      <c r="H8" s="10">
        <f>E5</f>
        <v>0.56999999999999995</v>
      </c>
      <c r="I8" s="9" t="str">
        <f>IF(H8&gt;=0.9,"✓ Excellent",IF(H8&gt;=0.7,"◐ Good","✗ Needs Attention"))</f>
        <v>✗ Needs Attention</v>
      </c>
      <c r="J8" s="8"/>
      <c r="K8" s="8"/>
      <c r="L8" s="23"/>
    </row>
    <row r="9" spans="1:12" x14ac:dyDescent="0.3">
      <c r="G9" s="22"/>
      <c r="H9" s="8"/>
      <c r="I9" s="8"/>
      <c r="J9" s="8"/>
      <c r="K9" s="8"/>
      <c r="L9" s="23"/>
    </row>
    <row r="10" spans="1:12" x14ac:dyDescent="0.3">
      <c r="G10" s="25"/>
      <c r="H10" s="8"/>
      <c r="I10" s="8"/>
      <c r="J10" s="8"/>
      <c r="K10" s="8"/>
      <c r="L10" s="23"/>
    </row>
    <row r="11" spans="1:12" x14ac:dyDescent="0.3">
      <c r="G11" s="26"/>
      <c r="H11" s="8"/>
      <c r="I11" s="8"/>
      <c r="J11" s="8"/>
      <c r="K11" s="8"/>
      <c r="L11" s="23"/>
    </row>
    <row r="12" spans="1:12" x14ac:dyDescent="0.3">
      <c r="A12" s="2"/>
      <c r="B12" s="4"/>
      <c r="C12" s="4"/>
      <c r="D12" s="2"/>
      <c r="E12" s="4"/>
      <c r="G12" s="27"/>
      <c r="H12" s="8"/>
      <c r="I12" s="8"/>
      <c r="J12" s="8"/>
      <c r="K12" s="8"/>
      <c r="L12" s="23"/>
    </row>
    <row r="13" spans="1:12" x14ac:dyDescent="0.3">
      <c r="A13" s="5"/>
      <c r="B13" s="3"/>
      <c r="C13" s="3"/>
      <c r="D13" s="5"/>
      <c r="E13" s="6"/>
      <c r="G13" s="28"/>
      <c r="H13" s="8"/>
      <c r="I13" s="8"/>
      <c r="J13" s="8"/>
      <c r="K13" s="8"/>
      <c r="L13" s="23"/>
    </row>
    <row r="14" spans="1:12" x14ac:dyDescent="0.3">
      <c r="A14" s="5"/>
      <c r="B14" s="3"/>
      <c r="C14" s="3"/>
      <c r="D14" s="5"/>
      <c r="E14" s="6"/>
      <c r="G14" s="22"/>
      <c r="H14" s="8"/>
      <c r="I14" s="8"/>
      <c r="J14" s="8"/>
      <c r="K14" s="8"/>
      <c r="L14" s="23"/>
    </row>
    <row r="15" spans="1:12" x14ac:dyDescent="0.3">
      <c r="A15" s="5"/>
      <c r="B15" s="3"/>
      <c r="C15" s="3"/>
      <c r="D15" s="5"/>
      <c r="E15" s="6"/>
      <c r="G15" s="22"/>
      <c r="H15" s="8"/>
      <c r="I15" s="8"/>
      <c r="J15" s="8"/>
      <c r="K15" s="8"/>
      <c r="L15" s="23"/>
    </row>
    <row r="16" spans="1:12" x14ac:dyDescent="0.3">
      <c r="A16" s="5"/>
      <c r="B16" s="3"/>
      <c r="C16" s="3"/>
      <c r="D16" s="5"/>
      <c r="E16" s="6"/>
      <c r="G16" s="22"/>
      <c r="H16" s="8"/>
      <c r="I16" s="8"/>
      <c r="J16" s="8"/>
      <c r="K16" s="8"/>
      <c r="L16" s="23"/>
    </row>
    <row r="17" spans="7:12" x14ac:dyDescent="0.3">
      <c r="G17" s="22"/>
      <c r="H17" s="8"/>
      <c r="I17" s="8"/>
      <c r="J17" s="8"/>
      <c r="K17" s="8"/>
      <c r="L17" s="23"/>
    </row>
    <row r="18" spans="7:12" x14ac:dyDescent="0.3">
      <c r="G18" s="22"/>
      <c r="H18" s="8"/>
      <c r="I18" s="8"/>
      <c r="J18" s="8"/>
      <c r="K18" s="8"/>
      <c r="L18" s="23"/>
    </row>
    <row r="19" spans="7:12" x14ac:dyDescent="0.3">
      <c r="G19" s="22"/>
      <c r="H19" s="8"/>
      <c r="I19" s="8"/>
      <c r="J19" s="8"/>
      <c r="K19" s="8"/>
      <c r="L19" s="23"/>
    </row>
    <row r="20" spans="7:12" x14ac:dyDescent="0.3">
      <c r="G20" s="22"/>
      <c r="H20" s="8"/>
      <c r="I20" s="8"/>
      <c r="J20" s="8"/>
      <c r="K20" s="8"/>
      <c r="L20" s="23"/>
    </row>
    <row r="21" spans="7:12" x14ac:dyDescent="0.3">
      <c r="G21" s="22"/>
      <c r="H21" s="8"/>
      <c r="I21" s="8"/>
      <c r="J21" s="8"/>
      <c r="K21" s="8"/>
      <c r="L21" s="23"/>
    </row>
    <row r="22" spans="7:12" ht="15" thickBot="1" x14ac:dyDescent="0.35">
      <c r="G22" s="29" t="s">
        <v>25</v>
      </c>
      <c r="H22" s="30"/>
      <c r="I22" s="30"/>
      <c r="J22" s="30"/>
      <c r="K22" s="31"/>
      <c r="L22" s="32"/>
    </row>
    <row r="23" spans="7:12" x14ac:dyDescent="0.3">
      <c r="G23" s="8"/>
      <c r="H23" s="8"/>
      <c r="I23" s="8"/>
      <c r="J23" s="8"/>
      <c r="K23" s="8"/>
      <c r="L23" s="8"/>
    </row>
  </sheetData>
  <mergeCells count="2">
    <mergeCell ref="A8:C8"/>
    <mergeCell ref="G1:L2"/>
  </mergeCells>
  <phoneticPr fontId="7" type="noConversion"/>
  <conditionalFormatting sqref="I19:I20">
    <cfRule type="containsText" dxfId="5" priority="4" operator="containsText" text="Excellent">
      <formula>NOT(ISERROR(SEARCH("Excellent",I19)))</formula>
    </cfRule>
  </conditionalFormatting>
  <conditionalFormatting sqref="I19:I20">
    <cfRule type="containsText" dxfId="4" priority="5" operator="containsText" text="Good">
      <formula>NOT(ISERROR(SEARCH("Good",I19)))</formula>
    </cfRule>
  </conditionalFormatting>
  <conditionalFormatting sqref="I19:I20">
    <cfRule type="containsText" dxfId="3" priority="6" operator="containsText" text="Attention">
      <formula>NOT(ISERROR(SEARCH("Attention",I19)))</formula>
    </cfRule>
  </conditionalFormatting>
  <conditionalFormatting sqref="I5:I8">
    <cfRule type="containsText" dxfId="2" priority="1" operator="containsText" text="Excellent">
      <formula>NOT(ISERROR(SEARCH("Excellent",I5)))</formula>
    </cfRule>
  </conditionalFormatting>
  <conditionalFormatting sqref="I5:I8">
    <cfRule type="containsText" dxfId="1" priority="2" operator="containsText" text="Good">
      <formula>NOT(ISERROR(SEARCH("Good",I5)))</formula>
    </cfRule>
  </conditionalFormatting>
  <conditionalFormatting sqref="I5:I8">
    <cfRule type="containsText" dxfId="0" priority="3" operator="containsText" text="Attention">
      <formula>NOT(ISERROR(SEARCH("Attention",I5)))</formula>
    </cfRule>
  </conditionalFormatting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Dashboard Metrics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ARJUN AVALAKKI MOHAN</cp:lastModifiedBy>
  <dcterms:created xsi:type="dcterms:W3CDTF">2026-05-30T04:45:16Z</dcterms:created>
  <dcterms:modified xsi:type="dcterms:W3CDTF">2026-05-30T05:31:17Z</dcterms:modified>
</cp:coreProperties>
</file>